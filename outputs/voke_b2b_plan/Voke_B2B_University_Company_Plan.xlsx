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a2c42a3de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eb5cb7aed984213"/>
    <x:sheet xmlns:r="http://schemas.openxmlformats.org/officeDocument/2006/relationships" name="University Plan" sheetId="2" r:id="R36adbfb15c6e4cfe"/>
    <x:sheet xmlns:r="http://schemas.openxmlformats.org/officeDocument/2006/relationships" name="Company Plan" sheetId="3" r:id="R800d445b652a4ff3"/>
    <x:sheet xmlns:r="http://schemas.openxmlformats.org/officeDocument/2006/relationships" name="Pricing &amp; Economics" sheetId="4" r:id="R997ad58e4ae7416a"/>
    <x:sheet xmlns:r="http://schemas.openxmlformats.org/officeDocument/2006/relationships" name="90-Day Rollout" sheetId="5" r:id="R1c7cf3a72c3d4554"/>
    <x:sheet xmlns:r="http://schemas.openxmlformats.org/officeDocument/2006/relationships" name="Sales Tracker" sheetId="6" r:id="R5a0a2b51b14340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%"/>
    <x:numFmt numFmtId="202" formatCode="#,##0"/>
    <x:numFmt numFmtId="203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C6470"/>
      <x:name val="Carlito"/>
    </x:font>
    <x:font>
      <x:b/>
      <x:sz val="11"/>
      <x:color rgb="FF171B4A"/>
      <x:name val="Carlito"/>
    </x:font>
    <x:font>
      <x:b/>
      <x:sz val="12"/>
      <x:color rgb="FF171B4A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1B4A"/>
      </x:patternFill>
    </x:fill>
    <x:fill>
      <x:patternFill patternType="solid">
        <x:fgColor rgb="FFF5F6FA"/>
      </x:patternFill>
    </x:fill>
    <x:fill>
      <x:patternFill patternType="solid">
        <x:fgColor rgb="FFEEEAFE"/>
      </x:patternFill>
    </x:fill>
    <x:fill>
      <x:patternFill patternType="solid">
        <x:fgColor rgb="FFEEF5FF"/>
      </x:patternFill>
    </x:fill>
    <x:fill>
      <x:patternFill patternType="solid">
        <x:fgColor rgb="FF6D4AFF"/>
      </x:patternFill>
    </x:fill>
    <x:fill>
      <x:patternFill patternType="solid">
        <x:fgColor rgb="FFE8F7EE"/>
      </x:patternFill>
    </x:fill>
    <x:fill>
      <x:patternFill patternType="solid">
        <x:fgColor rgb="FFFFF1DF"/>
      </x:patternFill>
    </x:fill>
    <x:fill>
      <x:patternFill patternType="solid">
        <x:fgColor rgb="FFFCE9E7"/>
      </x:patternFill>
    </x:fill>
  </x:fills>
  <x:borders count="12">
    <x:border/>
    <x:border>
      <x:left style="thin">
        <x:color rgb="FFD8DEE8"/>
      </x:left>
      <x:top style="thin">
        <x:color rgb="FFD8DEE8"/>
      </x:top>
    </x:border>
    <x:border>
      <x:top style="thin">
        <x:color rgb="FFD8DEE8"/>
      </x:top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bottom style="thin">
        <x:color rgb="FFD8DEE8"/>
      </x:bottom>
    </x:border>
    <x:border>
      <x:bottom style="thin">
        <x:color rgb="FFD8DEE8"/>
      </x:bottom>
    </x:border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/>
    <x:xf numFmtId="0" fontId="0" fillId="0" borderId="10" xfId="0" applyNumberFormat="1" applyFont="1" applyFill="1" applyBorder="1"/>
    <x:xf numFmtId="0" fontId="0" fillId="0" borderId="3" xfId="0" applyNumberFormat="1" applyFont="1" applyFill="1" applyBorder="1"/>
    <x:xf numFmtId="0" fontId="0" fillId="0" borderId="11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200" fontId="0" fillId="7" borderId="8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200" fontId="0" fillId="8" borderId="7" xfId="0" applyNumberFormat="1" applyFont="1" applyFill="1" applyBorder="1" applyAlignment="1">
      <x:alignment vertical="top" wrapText="1"/>
    </x:xf>
    <x:xf numFmtId="0" fontId="0" fillId="8" borderId="10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200" fontId="0" fillId="5" borderId="8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0" fontId="0" fillId="8" borderId="8" xfId="0" applyNumberFormat="1" applyFont="1" applyFill="1" applyBorder="1" applyAlignment="1">
      <x:alignment vertical="top" wrapText="1"/>
    </x:xf>
    <x:xf numFmtId="201" fontId="0" fillId="8" borderId="11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0" fillId="8" borderId="11" xfId="0" applyNumberFormat="1" applyFont="1" applyFill="1" applyBorder="1" applyAlignment="1">
      <x:alignment vertical="top" wrapText="1"/>
    </x:xf>
    <x:xf numFmtId="200" fontId="0" fillId="8" borderId="11" xfId="0" applyNumberFormat="1" applyFont="1" applyFill="1" applyBorder="1" applyAlignment="1">
      <x:alignment vertical="top" wrapText="1"/>
    </x:xf>
    <x:xf numFmtId="200" fontId="0" fillId="7" borderId="4" xfId="0" applyNumberFormat="1" applyFont="1" applyFill="1" applyBorder="1" applyAlignment="1">
      <x:alignment vertical="top" wrapText="1"/>
    </x:xf>
    <x:xf numFmtId="200" fontId="0" fillId="7" borderId="10" xfId="0" applyNumberFormat="1" applyFont="1" applyFill="1" applyBorder="1" applyAlignment="1">
      <x:alignment vertical="top" wrapText="1"/>
    </x:xf>
    <x:xf numFmtId="200" fontId="0" fillId="7" borderId="1" xfId="0" applyNumberFormat="1" applyFont="1" applyFill="1" applyBorder="1" applyAlignment="1">
      <x:alignment vertical="top" wrapText="1"/>
    </x:xf>
    <x:xf numFmtId="0" fontId="0" fillId="9" borderId="3" xfId="0" applyNumberFormat="1" applyFont="1" applyFill="1" applyBorder="1" applyAlignment="1">
      <x:alignment vertical="top" wrapText="1"/>
    </x:xf>
    <x:xf numFmtId="0" fontId="0" fillId="9" borderId="11" xfId="0" applyNumberFormat="1" applyFont="1" applyFill="1" applyBorder="1" applyAlignment="1">
      <x:alignment vertical="top" wrapText="1"/>
    </x:xf>
    <x:xf numFmtId="200" fontId="0" fillId="9" borderId="11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0" fillId="0" borderId="10" xfId="0" applyNumberFormat="1" applyFont="1" applyFill="1" applyBorder="1" applyAlignment="1">
      <x:alignment vertical="top" wrapText="1"/>
    </x:xf>
    <x:xf numFmtId="0" fontId="0" fillId="8" borderId="4" xfId="0" applyNumberFormat="1" applyFont="1" applyFill="1" applyBorder="1" applyAlignment="1">
      <x:alignment vertical="top" wrapText="1"/>
    </x:xf>
    <x:xf numFmtId="201" fontId="0" fillId="8" borderId="7" xfId="0" applyNumberFormat="1" applyFont="1" applyFill="1" applyBorder="1" applyAlignment="1">
      <x:alignment vertical="top" wrapText="1"/>
    </x:xf>
    <x:xf numFmtId="201" fontId="0" fillId="8" borderId="1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8" borderId="3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2" fontId="0" fillId="8" borderId="7" xfId="0" applyNumberFormat="1" applyFont="1" applyFill="1" applyBorder="1" applyAlignment="1">
      <x:alignment vertical="top" wrapText="1"/>
    </x:xf>
    <x:xf numFmtId="202" fontId="0" fillId="8" borderId="11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203" fontId="0" fillId="8" borderId="7" xfId="0" applyNumberFormat="1" applyFont="1" applyFill="1" applyBorder="1" applyAlignment="1">
      <x:alignment vertical="top" wrapText="1"/>
    </x:xf>
    <x:xf numFmtId="203" fontId="0" fillId="8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dd3dc3064d4ff8" /><Relationship Type="http://schemas.openxmlformats.org/officeDocument/2006/relationships/theme" Target="/xl/theme/theme1.xml" Id="Rd3af7409edb44269" /><Relationship Type="http://schemas.openxmlformats.org/officeDocument/2006/relationships/sharedStrings" Target="/xl/sharedStrings.xml" Id="Rebe2586174224b00" /><Relationship Type="http://schemas.openxmlformats.org/officeDocument/2006/relationships/worksheet" Target="/xl/worksheets/sheet1.xml" Id="Rdeb5cb7aed984213" /><Relationship Type="http://schemas.openxmlformats.org/officeDocument/2006/relationships/worksheet" Target="/xl/worksheets/sheet2.xml" Id="R36adbfb15c6e4cfe" /><Relationship Type="http://schemas.openxmlformats.org/officeDocument/2006/relationships/worksheet" Target="/xl/worksheets/sheet3.xml" Id="R800d445b652a4ff3" /><Relationship Type="http://schemas.openxmlformats.org/officeDocument/2006/relationships/worksheet" Target="/xl/worksheets/sheet4.xml" Id="R997ad58e4ae7416a" /><Relationship Type="http://schemas.openxmlformats.org/officeDocument/2006/relationships/worksheet" Target="/xl/worksheets/sheet5.xml" Id="R1c7cf3a72c3d4554" /><Relationship Type="http://schemas.openxmlformats.org/officeDocument/2006/relationships/worksheet" Target="/xl/worksheets/sheet6.xml" Id="R5a0a2b51b14340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5" hidden="0" customWidth="1"/>
    <x:col min="4" max="4" width="38" hidden="0" customWidth="1"/>
    <x:col min="5" max="5" width="28" hidden="0" customWidth="1"/>
    <x:col min="6" max="6" width="28" hidden="0" customWidth="1"/>
  </x:cols>
  <x:sheetData>
    <x:row r="1" ht="32" customHeight="1">
      <x:c r="A1" s="4" t="str">
        <x:v>Voke B2B Plan - Universities &amp; Companies</x:v>
      </x:c>
      <x:c r="B1" s="4"/>
      <x:c r="C1" s="4"/>
      <x:c r="D1" s="4"/>
      <x:c r="E1" s="4"/>
      <x:c r="F1" s="4"/>
    </x:row>
    <x:row r="2" ht="28" customHeight="1">
      <x:c r="A2" s="8" t="str">
        <x:v>A practical, easy-to-present sales and delivery plan. All prices are INR before GST.</x:v>
      </x:c>
      <x:c r="B2" s="8"/>
      <x:c r="C2" s="8"/>
      <x:c r="D2" s="8"/>
      <x:c r="E2" s="8"/>
      <x:c r="F2" s="8"/>
    </x:row>
    <x:row r="4" ht="22" customHeight="1">
      <x:c r="A4" s="11" t="str">
        <x:v>The strategy in one line</x:v>
      </x:c>
      <x:c r="B4" s="11" t="str">
        <x:v>The strategy in one line</x:v>
      </x:c>
      <x:c r="C4" s="11" t="str">
        <x:v>The strategy in one line</x:v>
      </x:c>
      <x:c r="D4" s="11" t="str">
        <x:v>The strategy in one line</x:v>
      </x:c>
      <x:c r="E4" s="11" t="str">
        <x:v>The strategy in one line</x:v>
      </x:c>
      <x:c r="F4" s="11" t="str">
        <x:v>The strategy in one line</x:v>
      </x:c>
    </x:row>
    <x:row r="5">
      <x:c r="A5" s="26" t="str">
        <x:v>Start with small, measurable readiness pilots for universities and companies. Convert successful pilots into paid cohort contracts. Sell the outcome: more interview-ready people with less manual coaching.</x:v>
      </x:c>
      <x:c r="B5" s="27"/>
      <x:c r="C5" s="27"/>
      <x:c r="D5" s="27"/>
      <x:c r="E5" s="27"/>
      <x:c r="F5" s="28"/>
    </x:row>
    <x:row r="6">
      <x:c r="A6" s="29"/>
      <x:c r="B6" s="30"/>
      <x:c r="C6" s="30"/>
      <x:c r="D6" s="30"/>
      <x:c r="E6" s="30"/>
      <x:c r="F6" s="31"/>
    </x:row>
    <x:row r="8" ht="22" customHeight="1">
      <x:c r="A8" s="11" t="str">
        <x:v>What Voke should do first</x:v>
      </x:c>
      <x:c r="B8" s="11" t="str">
        <x:v>What Voke should do first</x:v>
      </x:c>
      <x:c r="C8" s="11" t="str">
        <x:v>What Voke should do first</x:v>
      </x:c>
      <x:c r="D8" s="11" t="str">
        <x:v>What Voke should do first</x:v>
      </x:c>
      <x:c r="E8" s="11" t="str">
        <x:v>What Voke should do first</x:v>
      </x:c>
      <x:c r="F8" s="11" t="str">
        <x:v>What Voke should do first</x:v>
      </x:c>
    </x:row>
    <x:row r="9" ht="26" customHeight="1">
      <x:c r="A9" s="37" t="str">
        <x:v>Priority</x:v>
      </x:c>
      <x:c r="B9" s="37" t="str">
        <x:v>Target buyer</x:v>
      </x:c>
      <x:c r="C9" s="37" t="str">
        <x:v>Why they buy</x:v>
      </x:c>
      <x:c r="D9" s="37" t="str">
        <x:v>First offer</x:v>
      </x:c>
      <x:c r="E9" s="37" t="str">
        <x:v>Success measure</x:v>
      </x:c>
      <x:c r="F9" s="37" t="str">
        <x:v>Next step</x:v>
      </x:c>
    </x:row>
    <x:row r="10">
      <x:c r="A10" s="65" t="str">
        <x:v>1</x:v>
      </x:c>
      <x:c r="B10" s="57" t="str">
        <x:v>University placement cells</x:v>
      </x:c>
      <x:c r="C10" s="57" t="str">
        <x:v>Need scalable placement readiness and visibility into student gaps.</x:v>
      </x:c>
      <x:c r="D10" s="57" t="str">
        <x:v>100-student / 14-day free pilot</x:v>
      </x:c>
      <x:c r="E10" s="57" t="str">
        <x:v>40%+ first-mock completion</x:v>
      </x:c>
      <x:c r="F10" s="58" t="str">
        <x:v>Sell 100 paid seats</x:v>
      </x:c>
    </x:row>
    <x:row r="11">
      <x:c r="A11" s="66" t="str">
        <x:v>2</x:v>
      </x:c>
      <x:c r="B11" s="60" t="str">
        <x:v>Graduate hiring / L&amp;D teams</x:v>
      </x:c>
      <x:c r="C11" s="60" t="str">
        <x:v>Need trainees and early-career candidates to communicate better.</x:v>
      </x:c>
      <x:c r="D11" s="60" t="str">
        <x:v>20-person diagnostic cohort or paid 50 seats</x:v>
      </x:c>
      <x:c r="E11" s="60" t="str">
        <x:v>60%+ first-mock completion</x:v>
      </x:c>
      <x:c r="F11" s="61" t="str">
        <x:v>Sell 50 paid seats</x:v>
      </x:c>
    </x:row>
    <x:row r="12">
      <x:c r="A12" s="66" t="str">
        <x:v>3</x:v>
      </x:c>
      <x:c r="B12" s="60" t="str">
        <x:v>Recruitment agencies</x:v>
      </x:c>
      <x:c r="C12" s="60" t="str">
        <x:v>Need candidates prepared before client interviews.</x:v>
      </x:c>
      <x:c r="D12" s="60" t="str">
        <x:v>Paid 50-seat readiness cohort</x:v>
      </x:c>
      <x:c r="E12" s="60" t="str">
        <x:v>Fewer repeat basic coaching sessions</x:v>
      </x:c>
      <x:c r="F12" s="61" t="str">
        <x:v>Expand to more recruiters</x:v>
      </x:c>
    </x:row>
    <x:row r="13">
      <x:c r="A13" s="67" t="str">
        <x:v>Avoid first</x:v>
      </x:c>
      <x:c r="B13" s="63" t="str">
        <x:v>Generic sponsorships / broad promotions</x:v>
      </x:c>
      <x:c r="C13" s="63" t="str">
        <x:v>Large reach but weak interview intent and unclear ROI.</x:v>
      </x:c>
      <x:c r="D13" s="63" t="str">
        <x:v>Do not lead with this.</x:v>
      </x:c>
      <x:c r="E13" s="63" t="str">
        <x:v>Positive contribution, not vanity signups</x:v>
      </x:c>
      <x:c r="F13" s="64" t="str">
        <x:v>Consider only after proof</x:v>
      </x:c>
    </x:row>
    <x:row r="15" ht="22" customHeight="1">
      <x:c r="A15" s="11" t="str">
        <x:v>Free mock policy - recommended</x:v>
      </x:c>
      <x:c r="B15" s="11" t="str">
        <x:v>Free mock policy - recommended</x:v>
      </x:c>
      <x:c r="C15" s="11" t="str">
        <x:v>Free mock policy - recommended</x:v>
      </x:c>
      <x:c r="D15" s="11" t="str">
        <x:v>Free mock policy - recommended</x:v>
      </x:c>
      <x:c r="E15" s="11" t="str">
        <x:v>Free mock policy - recommended</x:v>
      </x:c>
      <x:c r="F15" s="11" t="str">
        <x:v>Free mock policy - recommended</x:v>
      </x:c>
    </x:row>
    <x:row r="16" ht="26" customHeight="1">
      <x:c r="A16" s="37" t="str">
        <x:v>Offer</x:v>
      </x:c>
      <x:c r="B16" s="37" t="str">
        <x:v>What the user receives</x:v>
      </x:c>
      <x:c r="C16" s="37" t="str">
        <x:v>AI cost per user</x:v>
      </x:c>
      <x:c r="D16" s="37" t="str">
        <x:v>Why</x:v>
      </x:c>
      <x:c r="E16" s="37" t="str">
        <x:v>Rule</x:v>
      </x:c>
      <x:c r="F16" s="37" t="str">
        <x:v>Result</x:v>
      </x:c>
    </x:row>
    <x:row r="17">
      <x:c r="A17" s="71" t="str">
        <x:v>Free Diagnostic Mock</x:v>
      </x:c>
      <x:c r="B17" s="72" t="str">
        <x:v>1 Text Interview + 1 Pro Video Interview</x:v>
      </x:c>
      <x:c r="C17" s="73" t="n">
        <x:v>2.89</x:v>
      </x:c>
      <x:c r="D17" s="72" t="str">
        <x:v>Shows answer feedback and body-language feedback in one experience.</x:v>
      </x:c>
      <x:c r="E17" s="72" t="str">
        <x:v>One free diagnostic only.</x:v>
      </x:c>
      <x:c r="F17" s="74" t="str">
        <x:v>Useful baseline + protects margin</x:v>
      </x:c>
    </x:row>
    <x:row r="18">
      <x:c r="A18" s="75" t="str">
        <x:v>Do not give</x:v>
      </x:c>
      <x:c r="B18" s="76" t="str">
        <x:v>2-4 Pro Video credits as default free access</x:v>
      </x:c>
      <x:c r="C18" s="77" t="n">
        <x:v>5.78</x:v>
      </x:c>
      <x:c r="D18" s="76" t="str">
        <x:v>More free access reduces the reason to upgrade.</x:v>
      </x:c>
      <x:c r="E18" s="76" t="str">
        <x:v>Use only as a targeted reward.</x:v>
      </x:c>
      <x:c r="F18" s="78" t="str">
        <x:v>Lower acquisition cost</x:v>
      </x:c>
    </x:row>
    <x:row r="19">
      <x:c r="A19" s="62" t="str">
        <x:v>Paid next step</x:v>
      </x:c>
      <x:c r="B19" s="63" t="str">
        <x:v>Voke Pro or Voke Elite cohort package</x:v>
      </x:c>
      <x:c r="C19" s="70"/>
      <x:c r="D19" s="63" t="str">
        <x:v>Student now understands the product before choosing more practice.</x:v>
      </x:c>
      <x:c r="E19" s="63" t="str">
        <x:v>Offer after diagnostic completion.</x:v>
      </x:c>
      <x:c r="F19" s="64" t="str">
        <x:v>Higher-intent upgrade</x:v>
      </x:c>
    </x:row>
  </x:sheetData>
  <x:mergeCells>
    <x:mergeCell ref="A1:F1"/>
    <x:mergeCell ref="A2:F2"/>
    <x:mergeCell ref="A4:F4"/>
    <x:mergeCell ref="A5:F6"/>
    <x:mergeCell ref="A8:F8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5" hidden="0" customWidth="1"/>
    <x:col min="3" max="3" width="35" hidden="0" customWidth="1"/>
    <x:col min="4" max="4" width="25" hidden="0" customWidth="1"/>
    <x:col min="5" max="5" width="23" hidden="0" customWidth="1"/>
    <x:col min="6" max="6" width="13" hidden="0" customWidth="1"/>
  </x:cols>
  <x:sheetData>
    <x:row r="1" ht="32" customHeight="1">
      <x:c r="A1" s="4" t="str">
        <x:v>University B2B Plan</x:v>
      </x:c>
      <x:c r="B1" s="4"/>
      <x:c r="C1" s="4"/>
      <x:c r="D1" s="4"/>
      <x:c r="E1" s="4"/>
      <x:c r="F1" s="4"/>
    </x:row>
    <x:row r="2" ht="28" customHeight="1">
      <x:c r="A2" s="8" t="str">
        <x:v>Primary target: placement cells, career services teams, deans and student placement committees.</x:v>
      </x:c>
      <x:c r="B2" s="8"/>
      <x:c r="C2" s="8"/>
      <x:c r="D2" s="8"/>
      <x:c r="E2" s="8"/>
      <x:c r="F2" s="8"/>
    </x:row>
    <x:row r="4" ht="22" customHeight="1">
      <x:c r="A4" s="11" t="str">
        <x:v>Why a university will buy Voke</x:v>
      </x:c>
      <x:c r="B4" s="11" t="str">
        <x:v>Why a university will buy Voke</x:v>
      </x:c>
      <x:c r="C4" s="11" t="str">
        <x:v>Why a university will buy Voke</x:v>
      </x:c>
      <x:c r="D4" s="11" t="str">
        <x:v>Why a university will buy Voke</x:v>
      </x:c>
      <x:c r="E4" s="11" t="str">
        <x:v>Why a university will buy Voke</x:v>
      </x:c>
      <x:c r="F4" s="11" t="str">
        <x:v>Why a university will buy Voke</x:v>
      </x:c>
    </x:row>
    <x:row r="5" ht="26" customHeight="1">
      <x:c r="A5" s="37" t="str">
        <x:v>University problem</x:v>
      </x:c>
      <x:c r="B5" s="37" t="str">
        <x:v>How Voke helps</x:v>
      </x:c>
      <x:c r="C5" s="37" t="str">
        <x:v>What the buyer gets</x:v>
      </x:c>
    </x:row>
    <x:row r="6">
      <x:c r="A6" s="56" t="str">
        <x:v>Students struggle to explain projects, HR stories and technical thinking.</x:v>
      </x:c>
      <x:c r="B6" s="57" t="str">
        <x:v>Repeated interview practice across Text and Video modes.</x:v>
      </x:c>
      <x:c r="C6" s="58" t="str">
        <x:v>More prepared placement-ready students.</x:v>
      </x:c>
    </x:row>
    <x:row r="7">
      <x:c r="A7" s="59" t="str">
        <x:v>Placement team cannot do personal mock interviews for everyone.</x:v>
      </x:c>
      <x:c r="B7" s="60" t="str">
        <x:v>24/7 first-practice layer; human coaches focus on final candidates.</x:v>
      </x:c>
      <x:c r="C7" s="61" t="str">
        <x:v>Less manual coaching pressure.</x:v>
      </x:c>
    </x:row>
    <x:row r="8">
      <x:c r="A8" s="59" t="str">
        <x:v>No clear picture of where the batch is weak.</x:v>
      </x:c>
      <x:c r="B8" s="60" t="str">
        <x:v>Aggregate cohort report with participation and common improvement areas.</x:v>
      </x:c>
      <x:c r="C8" s="61" t="str">
        <x:v>Better training decisions.</x:v>
      </x:c>
    </x:row>
    <x:row r="9">
      <x:c r="A9" s="59" t="str">
        <x:v>Need to show placement-readiness support to students and parents.</x:v>
      </x:c>
      <x:c r="B9" s="60" t="str">
        <x:v>A branded, structured interview-readiness programme.</x:v>
      </x:c>
      <x:c r="C9" s="61" t="str">
        <x:v>A visible employability service.</x:v>
      </x:c>
    </x:row>
    <x:row r="10">
      <x:c r="A10" s="62" t="str">
        <x:v>Budget is limited.</x:v>
      </x:c>
      <x:c r="B10" s="63" t="str">
        <x:v>Bulk rate below individual retail price.</x:v>
      </x:c>
      <x:c r="C10" s="64" t="str">
        <x:v>Affordable cohort access.</x:v>
      </x:c>
    </x:row>
    <x:row r="12" ht="22" customHeight="1">
      <x:c r="A12" s="11" t="str">
        <x:v>University offer structure</x:v>
      </x:c>
      <x:c r="B12" s="11" t="str">
        <x:v>University offer structure</x:v>
      </x:c>
      <x:c r="C12" s="11" t="str">
        <x:v>University offer structure</x:v>
      </x:c>
      <x:c r="D12" s="11" t="str">
        <x:v>University offer structure</x:v>
      </x:c>
      <x:c r="E12" s="11" t="str">
        <x:v>University offer structure</x:v>
      </x:c>
      <x:c r="F12" s="11" t="str">
        <x:v>University offer structure</x:v>
      </x:c>
    </x:row>
    <x:row r="13" ht="26" customHeight="1">
      <x:c r="A13" s="37" t="str">
        <x:v>Stage</x:v>
      </x:c>
      <x:c r="B13" s="37" t="str">
        <x:v>Package</x:v>
      </x:c>
      <x:c r="C13" s="37" t="str">
        <x:v>Seats / period</x:v>
      </x:c>
      <x:c r="D13" s="37" t="str">
        <x:v>What is included</x:v>
      </x:c>
      <x:c r="E13" s="37" t="str">
        <x:v>Price to university</x:v>
      </x:c>
      <x:c r="F13" s="37" t="str">
        <x:v>Purpose</x:v>
      </x:c>
    </x:row>
    <x:row r="14">
      <x:c r="A14" s="79" t="str">
        <x:v>Pilot</x:v>
      </x:c>
      <x:c r="B14" s="80" t="str">
        <x:v>Interview Readiness Pilot</x:v>
      </x:c>
      <x:c r="C14" s="80" t="str">
        <x:v>Up to 100 students / 14 days</x:v>
      </x:c>
      <x:c r="D14" s="80" t="str">
        <x:v>1 Text + 1 Pro Video diagnostic each; launch workshop; cohort report</x:v>
      </x:c>
      <x:c r="E14" s="81" t="n">
        <x:v>0</x:v>
      </x:c>
      <x:c r="F14" s="82" t="str">
        <x:v>Prove value before procurement</x:v>
      </x:c>
    </x:row>
    <x:row r="15">
      <x:c r="A15" s="59" t="str">
        <x:v>Core deal</x:v>
      </x:c>
      <x:c r="B15" s="60" t="str">
        <x:v>Voke Pro Placement Pack</x:v>
      </x:c>
      <x:c r="C15" s="60" t="str">
        <x:v>100+ activated seats / 90 days</x:v>
      </x:c>
      <x:c r="D15" s="60" t="str">
        <x:v>4 Pro Video + 3 Text credits per student; reports; role templates; one workshop</x:v>
      </x:c>
      <x:c r="E15" s="69" t="n">
        <x:v>299</x:v>
      </x:c>
      <x:c r="F15" s="61" t="str">
        <x:v>Regular placement practice</x:v>
      </x:c>
    </x:row>
    <x:row r="16">
      <x:c r="A16" s="62" t="str">
        <x:v>Premium deal</x:v>
      </x:c>
      <x:c r="B16" s="63" t="str">
        <x:v>Voke Elite Placement Pack</x:v>
      </x:c>
      <x:c r="C16" s="63" t="str">
        <x:v>100+ activated seats / 90 days</x:v>
      </x:c>
      <x:c r="D16" s="63" t="str">
        <x:v>4 Elite Credits + 2 Pro Video; Code IDE; resume optimisation; one workshop</x:v>
      </x:c>
      <x:c r="E16" s="70" t="n">
        <x:v>449</x:v>
      </x:c>
      <x:c r="F16" s="64" t="str">
        <x:v>Students close to interviews</x:v>
      </x:c>
    </x:row>
    <x:row r="18" ht="22" customHeight="1">
      <x:c r="A18" s="11" t="str">
        <x:v>Pilot to paid conversion process</x:v>
      </x:c>
      <x:c r="B18" s="11" t="str">
        <x:v>Pilot to paid conversion process</x:v>
      </x:c>
      <x:c r="C18" s="11" t="str">
        <x:v>Pilot to paid conversion process</x:v>
      </x:c>
      <x:c r="D18" s="11" t="str">
        <x:v>Pilot to paid conversion process</x:v>
      </x:c>
      <x:c r="E18" s="11" t="str">
        <x:v>Pilot to paid conversion process</x:v>
      </x:c>
      <x:c r="F18" s="11" t="str">
        <x:v>Pilot to paid conversion process</x:v>
      </x:c>
    </x:row>
    <x:row r="19" ht="26" customHeight="1">
      <x:c r="A19" s="37" t="str">
        <x:v>Step</x:v>
      </x:c>
      <x:c r="B19" s="37" t="str">
        <x:v>Voke responsibility</x:v>
      </x:c>
      <x:c r="C19" s="37" t="str">
        <x:v>University responsibility</x:v>
      </x:c>
      <x:c r="D19" s="37" t="str">
        <x:v>Output</x:v>
      </x:c>
      <x:c r="E19" s="37" t="str">
        <x:v>Decision gate</x:v>
      </x:c>
      <x:c r="F19" s="37" t="str">
        <x:v>Timing</x:v>
      </x:c>
    </x:row>
    <x:row r="20">
      <x:c r="A20" s="56" t="str">
        <x:v>1. Discovery</x:v>
      </x:c>
      <x:c r="B20" s="57" t="str">
        <x:v>Ask about batch size, upcoming drives and common interview gaps.</x:v>
      </x:c>
      <x:c r="C20" s="57" t="str">
        <x:v>Share current placement-readiness process.</x:v>
      </x:c>
      <x:c r="D20" s="57" t="str">
        <x:v>Pilot scope</x:v>
      </x:c>
      <x:c r="E20" s="57" t="str">
        <x:v>Committed coordinator?</x:v>
      </x:c>
      <x:c r="F20" s="58" t="str">
        <x:v>Week 1</x:v>
      </x:c>
    </x:row>
    <x:row r="21">
      <x:c r="A21" s="59" t="str">
        <x:v>2. Launch</x:v>
      </x:c>
      <x:c r="B21" s="60" t="str">
        <x:v>Set up code and run a 30-45 minute workshop.</x:v>
      </x:c>
      <x:c r="C21" s="60" t="str">
        <x:v>Send official email / WhatsApp announcement.</x:v>
      </x:c>
      <x:c r="D21" s="60" t="str">
        <x:v>Registered cohort</x:v>
      </x:c>
      <x:c r="E21" s="60" t="str">
        <x:v>100 students invited?</x:v>
      </x:c>
      <x:c r="F21" s="61" t="str">
        <x:v>Week 2</x:v>
      </x:c>
    </x:row>
    <x:row r="22">
      <x:c r="A22" s="59" t="str">
        <x:v>3. Measure</x:v>
      </x:c>
      <x:c r="B22" s="60" t="str">
        <x:v>Send weekly aggregate usage update.</x:v>
      </x:c>
      <x:c r="C22" s="60" t="str">
        <x:v>Remind students to complete diagnostic.</x:v>
      </x:c>
      <x:c r="D22" s="60" t="str">
        <x:v>Activation data</x:v>
      </x:c>
      <x:c r="E22" s="60" t="str">
        <x:v>40%+ first mock?</x:v>
      </x:c>
      <x:c r="F22" s="61" t="str">
        <x:v>Weeks 2-3</x:v>
      </x:c>
    </x:row>
    <x:row r="23">
      <x:c r="A23" s="59" t="str">
        <x:v>4. Review</x:v>
      </x:c>
      <x:c r="B23" s="60" t="str">
        <x:v>Present completion, gaps and student feedback.</x:v>
      </x:c>
      <x:c r="C23" s="60" t="str">
        <x:v>Attend outcome review.</x:v>
      </x:c>
      <x:c r="D23" s="60" t="str">
        <x:v>Cohort report</x:v>
      </x:c>
      <x:c r="E23" s="60" t="str">
        <x:v>Is a paid cohort justified?</x:v>
      </x:c>
      <x:c r="F23" s="61" t="str">
        <x:v>Week 3</x:v>
      </x:c>
    </x:row>
    <x:row r="24">
      <x:c r="A24" s="62" t="str">
        <x:v>5. Close</x:v>
      </x:c>
      <x:c r="B24" s="63" t="str">
        <x:v>Issue bulk-seat proposal and invoice.</x:v>
      </x:c>
      <x:c r="C24" s="63" t="str">
        <x:v>Approve 100+ seats and nominate coordinator.</x:v>
      </x:c>
      <x:c r="D24" s="63" t="str">
        <x:v>90-day paid cohort</x:v>
      </x:c>
      <x:c r="E24" s="63" t="str">
        <x:v>Payment before access</x:v>
      </x:c>
      <x:c r="F24" s="64" t="str">
        <x:v>Week 4</x:v>
      </x:c>
    </x:row>
  </x:sheetData>
  <x:mergeCells>
    <x:mergeCell ref="A1:F1"/>
    <x:mergeCell ref="A2:F2"/>
    <x:mergeCell ref="A4:F4"/>
    <x:mergeCell ref="A12:F12"/>
    <x:mergeCell ref="A18:F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  <x:col min="3" max="3" width="33" hidden="0" customWidth="1"/>
    <x:col min="4" max="4" width="33" hidden="0" customWidth="1"/>
    <x:col min="5" max="5" width="15" hidden="0" customWidth="1"/>
    <x:col min="6" max="6" width="25" hidden="0" customWidth="1"/>
  </x:cols>
  <x:sheetData>
    <x:row r="1" ht="32" customHeight="1">
      <x:c r="A1" s="4" t="str">
        <x:v>Company B2B Plan</x:v>
      </x:c>
      <x:c r="B1" s="4"/>
      <x:c r="C1" s="4"/>
      <x:c r="D1" s="4"/>
      <x:c r="E1" s="4"/>
      <x:c r="F1" s="4"/>
    </x:row>
    <x:row r="2" ht="28" customHeight="1">
      <x:c r="A2" s="8" t="str">
        <x:v>Sell to organisations responsible for making people job-ready - not to every employer with open roles.</x:v>
      </x:c>
      <x:c r="B2" s="8"/>
      <x:c r="C2" s="8"/>
      <x:c r="D2" s="8"/>
      <x:c r="E2" s="8"/>
      <x:c r="F2" s="8"/>
    </x:row>
    <x:row r="4" ht="22" customHeight="1">
      <x:c r="A4" s="11" t="str">
        <x:v>Best company customers and use cases</x:v>
      </x:c>
      <x:c r="B4" s="11" t="str">
        <x:v>Best company customers and use cases</x:v>
      </x:c>
      <x:c r="C4" s="11" t="str">
        <x:v>Best company customers and use cases</x:v>
      </x:c>
      <x:c r="D4" s="11" t="str">
        <x:v>Best company customers and use cases</x:v>
      </x:c>
      <x:c r="E4" s="11" t="str">
        <x:v>Best company customers and use cases</x:v>
      </x:c>
      <x:c r="F4" s="11" t="str">
        <x:v>Best company customers and use cases</x:v>
      </x:c>
    </x:row>
    <x:row r="5" ht="26" customHeight="1">
      <x:c r="A5" s="37" t="str">
        <x:v>Company type</x:v>
      </x:c>
      <x:c r="B5" s="37" t="str">
        <x:v>Likely buyer</x:v>
      </x:c>
      <x:c r="C5" s="37" t="str">
        <x:v>Use case</x:v>
      </x:c>
      <x:c r="D5" s="37" t="str">
        <x:v>Why they take Voke</x:v>
      </x:c>
    </x:row>
    <x:row r="6">
      <x:c r="A6" s="56" t="str">
        <x:v>Graduate hiring / campus programme</x:v>
      </x:c>
      <x:c r="B6" s="57" t="str">
        <x:v>Campus hiring lead or L&amp;D lead</x:v>
      </x:c>
      <x:c r="C6" s="57" t="str">
        <x:v>Prepare selected interns, trainees and pre-joining graduate hires.</x:v>
      </x:c>
      <x:c r="D6" s="58" t="str">
        <x:v>More professional communication before joining.</x:v>
      </x:c>
    </x:row>
    <x:row r="7">
      <x:c r="A7" s="59" t="str">
        <x:v>Recruitment / staffing agency</x:v>
      </x:c>
      <x:c r="B7" s="60" t="str">
        <x:v>Founder, recruitment head or delivery manager</x:v>
      </x:c>
      <x:c r="C7" s="60" t="str">
        <x:v>Candidates practise before client interviews.</x:v>
      </x:c>
      <x:c r="D7" s="61" t="str">
        <x:v>Less repeat basic coaching, better-prepared candidate pool.</x:v>
      </x:c>
    </x:row>
    <x:row r="8">
      <x:c r="A8" s="59" t="str">
        <x:v>IT services / BPO / consulting firm</x:v>
      </x:c>
      <x:c r="B8" s="60" t="str">
        <x:v>L&amp;D or talent-development lead</x:v>
      </x:c>
      <x:c r="C8" s="60" t="str">
        <x:v>Freshers practise client and role-change interviews.</x:v>
      </x:c>
      <x:c r="D8" s="61" t="str">
        <x:v>A scalable first-practice layer.</x:v>
      </x:c>
    </x:row>
    <x:row r="9">
      <x:c r="A9" s="62" t="str">
        <x:v>CSR employability programme</x:v>
      </x:c>
      <x:c r="B9" s="63" t="str">
        <x:v>CSR / programme manager</x:v>
      </x:c>
      <x:c r="C9" s="63" t="str">
        <x:v>Give beneficiary students structured career preparation.</x:v>
      </x:c>
      <x:c r="D9" s="64" t="str">
        <x:v>Measurable employability intervention.</x:v>
      </x:c>
    </x:row>
    <x:row r="11" ht="22" customHeight="1">
      <x:c r="A11" s="11" t="str">
        <x:v>Company offer structure</x:v>
      </x:c>
      <x:c r="B11" s="11" t="str">
        <x:v>Company offer structure</x:v>
      </x:c>
      <x:c r="C11" s="11" t="str">
        <x:v>Company offer structure</x:v>
      </x:c>
      <x:c r="D11" s="11" t="str">
        <x:v>Company offer structure</x:v>
      </x:c>
      <x:c r="E11" s="11" t="str">
        <x:v>Company offer structure</x:v>
      </x:c>
      <x:c r="F11" s="11" t="str">
        <x:v>Company offer structure</x:v>
      </x:c>
    </x:row>
    <x:row r="12" ht="26" customHeight="1">
      <x:c r="A12" s="37" t="str">
        <x:v>Offer</x:v>
      </x:c>
      <x:c r="B12" s="37" t="str">
        <x:v>Minimum seats</x:v>
      </x:c>
      <x:c r="C12" s="37" t="str">
        <x:v>User type</x:v>
      </x:c>
      <x:c r="D12" s="37" t="str">
        <x:v>Included</x:v>
      </x:c>
      <x:c r="E12" s="37" t="str">
        <x:v>Price per seat</x:v>
      </x:c>
      <x:c r="F12" s="37" t="str">
        <x:v>When to use</x:v>
      </x:c>
    </x:row>
    <x:row r="13">
      <x:c r="A13" s="79" t="str">
        <x:v>Discovery cohort</x:v>
      </x:c>
      <x:c r="B13" s="80" t="str">
        <x:v>20</x:v>
      </x:c>
      <x:c r="C13" s="80" t="str">
        <x:v>Trainees / agency candidates / interns</x:v>
      </x:c>
      <x:c r="D13" s="80" t="str">
        <x:v>1 Text + 1 Pro Video diagnostic; aggregate report</x:v>
      </x:c>
      <x:c r="E13" s="81" t="n">
        <x:v>0</x:v>
      </x:c>
      <x:c r="F13" s="82" t="str">
        <x:v>Only to demonstrate value</x:v>
      </x:c>
    </x:row>
    <x:row r="14">
      <x:c r="A14" s="59" t="str">
        <x:v>Voke Pro Workforce-Readiness Pack</x:v>
      </x:c>
      <x:c r="B14" s="60" t="str">
        <x:v>50</x:v>
      </x:c>
      <x:c r="C14" s="60" t="str">
        <x:v>Early-career employees or candidates</x:v>
      </x:c>
      <x:c r="D14" s="60" t="str">
        <x:v>Pro credits; launch workshop; weekly aggregate report</x:v>
      </x:c>
      <x:c r="E14" s="69" t="n">
        <x:v>399</x:v>
      </x:c>
      <x:c r="F14" s="61" t="str">
        <x:v>Standard paid programme</x:v>
      </x:c>
    </x:row>
    <x:row r="15">
      <x:c r="A15" s="62" t="str">
        <x:v>Voke Elite Workforce-Readiness Pack</x:v>
      </x:c>
      <x:c r="B15" s="63" t="str">
        <x:v>50</x:v>
      </x:c>
      <x:c r="C15" s="63" t="str">
        <x:v>High-priority candidates / advanced trainees</x:v>
      </x:c>
      <x:c r="D15" s="63" t="str">
        <x:v>Elite credits; launch workshop; weekly aggregate report</x:v>
      </x:c>
      <x:c r="E15" s="70" t="n">
        <x:v>549</x:v>
      </x:c>
      <x:c r="F15" s="64" t="str">
        <x:v>Close to high-stakes interviews</x:v>
      </x:c>
    </x:row>
    <x:row r="17" ht="22" customHeight="1">
      <x:c r="A17" s="11" t="str">
        <x:v>Rules for company deployments</x:v>
      </x:c>
      <x:c r="B17" s="11" t="str">
        <x:v>Rules for company deployments</x:v>
      </x:c>
      <x:c r="C17" s="11" t="str">
        <x:v>Rules for company deployments</x:v>
      </x:c>
      <x:c r="D17" s="11" t="str">
        <x:v>Rules for company deployments</x:v>
      </x:c>
      <x:c r="E17" s="11" t="str">
        <x:v>Rules for company deployments</x:v>
      </x:c>
      <x:c r="F17" s="11" t="str">
        <x:v>Rules for company deployments</x:v>
      </x:c>
    </x:row>
    <x:row r="18" ht="26" customHeight="1">
      <x:c r="A18" s="37" t="str">
        <x:v>Rule</x:v>
      </x:c>
      <x:c r="B18" s="37" t="str">
        <x:v>Reason</x:v>
      </x:c>
      <x:c r="C18" s="37" t="str">
        <x:v>What Voke says</x:v>
      </x:c>
    </x:row>
    <x:row r="19">
      <x:c r="A19" s="56" t="str">
        <x:v>Do not promise a job or selection outcome.</x:v>
      </x:c>
      <x:c r="B19" s="57" t="str">
        <x:v>Voke improves readiness; the employer owns hiring decisions.</x:v>
      </x:c>
      <x:c r="C19" s="58" t="str">
        <x:v>“Interview practice, not a job guarantee.”</x:v>
      </x:c>
    </x:row>
    <x:row r="20">
      <x:c r="A20" s="59" t="str">
        <x:v>Keep individual recordings and answers private by default.</x:v>
      </x:c>
      <x:c r="B20" s="60" t="str">
        <x:v>Candidate trust and privacy.</x:v>
      </x:c>
      <x:c r="C20" s="61" t="str">
        <x:v>“Only aggregate cohort data is shared unless the user gives consent.”</x:v>
      </x:c>
    </x:row>
    <x:row r="21">
      <x:c r="A21" s="59" t="str">
        <x:v>Do not begin with an open-ended free rollout.</x:v>
      </x:c>
      <x:c r="B21" s="60" t="str">
        <x:v>Companies have budgets; Voke needs committed use.</x:v>
      </x:c>
      <x:c r="C21" s="61" t="str">
        <x:v>“20 diagnostics or a paid 50-seat cohort.”</x:v>
      </x:c>
    </x:row>
    <x:row r="22">
      <x:c r="A22" s="59" t="str">
        <x:v>Measure recruiter time saved and candidate completion.</x:v>
      </x:c>
      <x:c r="B22" s="60" t="str">
        <x:v>This proves commercial value.</x:v>
      </x:c>
      <x:c r="C22" s="61" t="str">
        <x:v>“Voke handles first practice; humans coach finalists.”</x:v>
      </x:c>
    </x:row>
    <x:row r="23">
      <x:c r="A23" s="62" t="str">
        <x:v>Invoice before bulk access starts.</x:v>
      </x:c>
      <x:c r="B23" s="63" t="str">
        <x:v>Protect cash flow and delivery planning.</x:v>
      </x:c>
      <x:c r="C23" s="64" t="str">
        <x:v>“Access starts after payment / PO confirmation.”</x:v>
      </x:c>
    </x:row>
  </x:sheetData>
  <x:mergeCells>
    <x:mergeCell ref="A1:F1"/>
    <x:mergeCell ref="A2:F2"/>
    <x:mergeCell ref="A4:F4"/>
    <x:mergeCell ref="A11:F11"/>
    <x:mergeCell ref="A17:F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5" hidden="0" customWidth="1"/>
    <x:col min="4" max="4" width="16" hidden="0" customWidth="1"/>
    <x:col min="5" max="5" width="15" hidden="0" customWidth="1"/>
    <x:col min="6" max="6" width="17" hidden="0" customWidth="1"/>
    <x:col min="7" max="7" width="36" hidden="0" customWidth="1"/>
  </x:cols>
  <x:sheetData>
    <x:row r="1" ht="32" customHeight="1">
      <x:c r="A1" s="4" t="str">
        <x:v>Pricing &amp; Economics</x:v>
      </x:c>
      <x:c r="B1" s="4"/>
      <x:c r="C1" s="4"/>
      <x:c r="D1" s="4"/>
      <x:c r="E1" s="4"/>
      <x:c r="F1" s="4"/>
      <x:c r="G1" s="4"/>
    </x:row>
    <x:row r="2" ht="28" customHeight="1">
      <x:c r="A2" s="8" t="str">
        <x:v>Editable inputs are highlighted. Formulas calculate direct contribution before support, infrastructure, salaries, tax and refunds.</x:v>
      </x:c>
      <x:c r="B2" s="8"/>
      <x:c r="C2" s="8"/>
      <x:c r="D2" s="8"/>
      <x:c r="E2" s="8"/>
      <x:c r="F2" s="8"/>
      <x:c r="G2" s="8"/>
    </x:row>
    <x:row r="4" ht="22" customHeight="1">
      <x:c r="A4" s="11" t="str">
        <x:v>Core cost assumptions</x:v>
      </x:c>
      <x:c r="B4" s="11" t="str">
        <x:v>Core cost assumptions</x:v>
      </x:c>
      <x:c r="C4" s="11" t="str">
        <x:v>Core cost assumptions</x:v>
      </x:c>
      <x:c r="D4" s="11" t="str">
        <x:v>Core cost assumptions</x:v>
      </x:c>
      <x:c r="E4" s="11" t="str">
        <x:v>Core cost assumptions</x:v>
      </x:c>
      <x:c r="F4" s="11" t="str">
        <x:v>Core cost assumptions</x:v>
      </x:c>
      <x:c r="G4" s="11" t="str">
        <x:v>Core cost assumptions</x:v>
      </x:c>
    </x:row>
    <x:row r="5" ht="26" customHeight="1">
      <x:c r="A5" s="37" t="str">
        <x:v>Input</x:v>
      </x:c>
      <x:c r="B5" s="37" t="str">
        <x:v>Value</x:v>
      </x:c>
      <x:c r="C5" s="37" t="str">
        <x:v>Notes</x:v>
      </x:c>
    </x:row>
    <x:row r="6">
      <x:c r="A6" s="56" t="str">
        <x:v>Text Interview AI cost</x:v>
      </x:c>
      <x:c r="B6" s="84" t="n">
        <x:v>0.17</x:v>
      </x:c>
      <x:c r="C6" s="58" t="str">
        <x:v>Gemini text interview</x:v>
      </x:c>
    </x:row>
    <x:row r="7">
      <x:c r="A7" s="59" t="str">
        <x:v>Pro Video AI cost</x:v>
      </x:c>
      <x:c r="B7" s="77" t="n">
        <x:v>2.72</x:v>
      </x:c>
      <x:c r="C7" s="61" t="str">
        <x:v>10-minute video interview</x:v>
      </x:c>
    </x:row>
    <x:row r="8">
      <x:c r="A8" s="59" t="str">
        <x:v>Elite Credit AI cost</x:v>
      </x:c>
      <x:c r="B8" s="77" t="n">
        <x:v>6.44</x:v>
      </x:c>
      <x:c r="C8" s="61" t="str">
        <x:v>Four-round company interview credit</x:v>
      </x:c>
    </x:row>
    <x:row r="9">
      <x:c r="A9" s="62" t="str">
        <x:v>Payment gateway rate</x:v>
      </x:c>
      <x:c r="B9" s="85" t="n">
        <x:v>0.02</x:v>
      </x:c>
      <x:c r="C9" s="64" t="str">
        <x:v>Use only where payment is collected through a gateway</x:v>
      </x:c>
    </x:row>
    <x:row r="11" ht="22" customHeight="1">
      <x:c r="A11" s="11" t="str">
        <x:v>Package economics - formulas are linked to assumptions above</x:v>
      </x:c>
      <x:c r="B11" s="11" t="str">
        <x:v>Package economics - formulas are linked to assumptions above</x:v>
      </x:c>
      <x:c r="C11" s="11" t="str">
        <x:v>Package economics - formulas are linked to assumptions above</x:v>
      </x:c>
      <x:c r="D11" s="11" t="str">
        <x:v>Package economics - formulas are linked to assumptions above</x:v>
      </x:c>
      <x:c r="E11" s="11" t="str">
        <x:v>Package economics - formulas are linked to assumptions above</x:v>
      </x:c>
      <x:c r="F11" s="11" t="str">
        <x:v>Package economics - formulas are linked to assumptions above</x:v>
      </x:c>
      <x:c r="G11" s="11" t="str">
        <x:v>Package economics - formulas are linked to assumptions above</x:v>
      </x:c>
    </x:row>
    <x:row r="12" ht="26" customHeight="1">
      <x:c r="A12" s="37" t="str">
        <x:v>Package</x:v>
      </x:c>
      <x:c r="B12" s="37" t="str">
        <x:v>Seats</x:v>
      </x:c>
      <x:c r="C12" s="37" t="str">
        <x:v>Price per seat</x:v>
      </x:c>
      <x:c r="D12" s="37" t="str">
        <x:v>AI cost per seat</x:v>
      </x:c>
      <x:c r="E12" s="37" t="str">
        <x:v>Payment fee per seat</x:v>
      </x:c>
      <x:c r="F12" s="37" t="str">
        <x:v>Total revenue</x:v>
      </x:c>
      <x:c r="G12" s="37" t="str">
        <x:v>Direct contribution</x:v>
      </x:c>
    </x:row>
    <x:row r="13">
      <x:c r="A13" s="56" t="str">
        <x:v>University Pro Placement Pack</x:v>
      </x:c>
      <x:c r="B13" s="89" t="n">
        <x:v>100</x:v>
      </x:c>
      <x:c r="C13" s="84" t="n">
        <x:v>299</x:v>
      </x:c>
      <x:c r="D13" s="68" t="n">
        <x:f>'Pricing &amp; Economics'!$B$7*4+'Pricing &amp; Economics'!$B$6*3</x:f>
        <x:v>11.39</x:v>
      </x:c>
      <x:c r="E13" s="68" t="n">
        <x:f>C13*'Pricing &amp; Economics'!$B$9</x:f>
        <x:v>5.98</x:v>
      </x:c>
      <x:c r="F13" s="68" t="n">
        <x:f>B13*C13</x:f>
        <x:v>29900</x:v>
      </x:c>
      <x:c r="G13" s="92" t="n">
        <x:f>F13-(B13*D13)-(B13*E13)</x:f>
        <x:v>28163</x:v>
      </x:c>
    </x:row>
    <x:row r="14">
      <x:c r="A14" s="59" t="str">
        <x:v>University Elite Placement Pack</x:v>
      </x:c>
      <x:c r="B14" s="76" t="n">
        <x:v>100</x:v>
      </x:c>
      <x:c r="C14" s="77" t="n">
        <x:v>449</x:v>
      </x:c>
      <x:c r="D14" s="69" t="n">
        <x:f>'Pricing &amp; Economics'!$B$8*4+'Pricing &amp; Economics'!$B$7*2</x:f>
        <x:v>31.200000000000003</x:v>
      </x:c>
      <x:c r="E14" s="69" t="n">
        <x:f>C14*'Pricing &amp; Economics'!$B$9</x:f>
        <x:v>8.98</x:v>
      </x:c>
      <x:c r="F14" s="69" t="n">
        <x:f>B14*C14</x:f>
        <x:v>44900</x:v>
      </x:c>
      <x:c r="G14" s="93" t="n">
        <x:f>F14-(B14*D14)-(B14*E14)</x:f>
        <x:v>40882</x:v>
      </x:c>
    </x:row>
    <x:row r="15">
      <x:c r="A15" s="59" t="str">
        <x:v>Company Pro Workforce-Readiness Pack</x:v>
      </x:c>
      <x:c r="B15" s="76" t="n">
        <x:v>50</x:v>
      </x:c>
      <x:c r="C15" s="77" t="n">
        <x:v>399</x:v>
      </x:c>
      <x:c r="D15" s="69" t="n">
        <x:f>'Pricing &amp; Economics'!$B$7*4+'Pricing &amp; Economics'!$B$6*3</x:f>
        <x:v>11.39</x:v>
      </x:c>
      <x:c r="E15" s="69" t="n">
        <x:f>C15*'Pricing &amp; Economics'!$B$9</x:f>
        <x:v>7.98</x:v>
      </x:c>
      <x:c r="F15" s="69" t="n">
        <x:f>B15*C15</x:f>
        <x:v>19950</x:v>
      </x:c>
      <x:c r="G15" s="93" t="n">
        <x:f>F15-(B15*D15)-(B15*E15)</x:f>
        <x:v>18981.5</x:v>
      </x:c>
    </x:row>
    <x:row r="16">
      <x:c r="A16" s="62" t="str">
        <x:v>Company Elite Workforce-Readiness Pack</x:v>
      </x:c>
      <x:c r="B16" s="90" t="n">
        <x:v>50</x:v>
      </x:c>
      <x:c r="C16" s="91" t="n">
        <x:v>549</x:v>
      </x:c>
      <x:c r="D16" s="70" t="n">
        <x:f>'Pricing &amp; Economics'!$B$8*4+'Pricing &amp; Economics'!$B$7*2</x:f>
        <x:v>31.200000000000003</x:v>
      </x:c>
      <x:c r="E16" s="70" t="n">
        <x:f>C16*'Pricing &amp; Economics'!$B$9</x:f>
        <x:v>10.98</x:v>
      </x:c>
      <x:c r="F16" s="70" t="n">
        <x:f>B16*C16</x:f>
        <x:v>27450</x:v>
      </x:c>
      <x:c r="G16" s="94" t="n">
        <x:f>F16-(B16*D16)-(B16*E16)</x:f>
        <x:v>25341</x:v>
      </x:c>
    </x:row>
    <x:row r="18" ht="22" customHeight="1">
      <x:c r="A18" s="11" t="str">
        <x:v>Free pilot cost</x:v>
      </x:c>
      <x:c r="B18" s="11" t="str">
        <x:v>Free pilot cost</x:v>
      </x:c>
      <x:c r="C18" s="11" t="str">
        <x:v>Free pilot cost</x:v>
      </x:c>
      <x:c r="D18" s="11" t="str">
        <x:v>Free pilot cost</x:v>
      </x:c>
      <x:c r="E18" s="11" t="str">
        <x:v>Free pilot cost</x:v>
      </x:c>
      <x:c r="F18" s="11" t="str">
        <x:v>Free pilot cost</x:v>
      </x:c>
      <x:c r="G18" s="11" t="str">
        <x:v>Free pilot cost</x:v>
      </x:c>
    </x:row>
    <x:row r="19" ht="26" customHeight="1">
      <x:c r="A19" s="37" t="str">
        <x:v>Pilot type</x:v>
      </x:c>
      <x:c r="B19" s="37" t="str">
        <x:v>Students</x:v>
      </x:c>
      <x:c r="C19" s="37" t="str">
        <x:v>Free Text mocks per user</x:v>
      </x:c>
      <x:c r="D19" s="37" t="str">
        <x:v>Free Pro Video mocks per user</x:v>
      </x:c>
      <x:c r="E19" s="37" t="str">
        <x:v>AI cost per user</x:v>
      </x:c>
      <x:c r="F19" s="37" t="str">
        <x:v>Total AI pilot cost</x:v>
      </x:c>
      <x:c r="G19" s="37" t="str">
        <x:v>Recommendation</x:v>
      </x:c>
    </x:row>
    <x:row r="20">
      <x:c r="A20" s="71" t="str">
        <x:v>University pilot</x:v>
      </x:c>
      <x:c r="B20" s="72" t="n">
        <x:v>100</x:v>
      </x:c>
      <x:c r="C20" s="72" t="n">
        <x:v>1</x:v>
      </x:c>
      <x:c r="D20" s="72" t="n">
        <x:v>1</x:v>
      </x:c>
      <x:c r="E20" s="73" t="n">
        <x:f>C20*'Pricing &amp; Economics'!$B$6+D20*'Pricing &amp; Economics'!$B$7</x:f>
        <x:v>2.89</x:v>
      </x:c>
      <x:c r="F20" s="73" t="n">
        <x:f>B20*E20</x:f>
        <x:v>289</x:v>
      </x:c>
      <x:c r="G20" s="74" t="str">
        <x:v>Recommended: one diagnostic mock only</x:v>
      </x:c>
    </x:row>
    <x:row r="21">
      <x:c r="A21" s="59" t="str">
        <x:v>Company discovery cohort</x:v>
      </x:c>
      <x:c r="B21" s="60" t="n">
        <x:v>20</x:v>
      </x:c>
      <x:c r="C21" s="60" t="n">
        <x:v>1</x:v>
      </x:c>
      <x:c r="D21" s="60" t="n">
        <x:v>1</x:v>
      </x:c>
      <x:c r="E21" s="69" t="n">
        <x:f>C21*'Pricing &amp; Economics'!$B$6+D21*'Pricing &amp; Economics'!$B$7</x:f>
        <x:v>2.89</x:v>
      </x:c>
      <x:c r="F21" s="69" t="n">
        <x:f>B21*E21</x:f>
        <x:v>57.800000000000004</x:v>
      </x:c>
      <x:c r="G21" s="61" t="str">
        <x:v>Recommended: cap at 20 users</x:v>
      </x:c>
    </x:row>
    <x:row r="22">
      <x:c r="A22" s="95" t="str">
        <x:v>Not recommended default</x:v>
      </x:c>
      <x:c r="B22" s="96" t="n">
        <x:v>100</x:v>
      </x:c>
      <x:c r="C22" s="96" t="n">
        <x:v>2</x:v>
      </x:c>
      <x:c r="D22" s="96" t="n">
        <x:v>2</x:v>
      </x:c>
      <x:c r="E22" s="97" t="n">
        <x:f>C22*'Pricing &amp; Economics'!$B$6+D22*'Pricing &amp; Economics'!$B$7</x:f>
        <x:v>5.78</x:v>
      </x:c>
      <x:c r="F22" s="97" t="n">
        <x:f>B22*E22</x:f>
        <x:v>578</x:v>
      </x:c>
      <x:c r="G22" s="98" t="str">
        <x:v>Costs twice as much without proving more value</x:v>
      </x:c>
    </x:row>
  </x:sheetData>
  <x:mergeCells>
    <x:mergeCell ref="A1:G1"/>
    <x:mergeCell ref="A2:G2"/>
    <x:mergeCell ref="A4:G4"/>
    <x:mergeCell ref="A11:G11"/>
    <x:mergeCell ref="A18:G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0" hidden="0" customWidth="1"/>
    <x:col min="3" max="3" width="35" hidden="0" customWidth="1"/>
    <x:col min="4" max="4" width="19" hidden="0" customWidth="1"/>
    <x:col min="5" max="5" width="25" hidden="0" customWidth="1"/>
    <x:col min="6" max="6" width="25" hidden="0" customWidth="1"/>
  </x:cols>
  <x:sheetData>
    <x:row r="1" ht="32" customHeight="1">
      <x:c r="A1" s="4" t="str">
        <x:v>90-Day B2B Rollout</x:v>
      </x:c>
      <x:c r="B1" s="4"/>
      <x:c r="C1" s="4"/>
      <x:c r="D1" s="4"/>
      <x:c r="E1" s="4"/>
      <x:c r="F1" s="4"/>
    </x:row>
    <x:row r="2" ht="28" customHeight="1">
      <x:c r="A2" s="8" t="str">
        <x:v>A simple execution calendar for obtaining proof, converting pilots, and preparing the next sales cycle.</x:v>
      </x:c>
      <x:c r="B2" s="8"/>
      <x:c r="C2" s="8"/>
      <x:c r="D2" s="8"/>
      <x:c r="E2" s="8"/>
      <x:c r="F2" s="8"/>
    </x:row>
    <x:row r="4" ht="22" customHeight="1">
      <x:c r="A4" s="11" t="str">
        <x:v>Execution roadmap</x:v>
      </x:c>
      <x:c r="B4" s="11" t="str">
        <x:v>Execution roadmap</x:v>
      </x:c>
      <x:c r="C4" s="11" t="str">
        <x:v>Execution roadmap</x:v>
      </x:c>
      <x:c r="D4" s="11" t="str">
        <x:v>Execution roadmap</x:v>
      </x:c>
      <x:c r="E4" s="11" t="str">
        <x:v>Execution roadmap</x:v>
      </x:c>
      <x:c r="F4" s="11" t="str">
        <x:v>Execution roadmap</x:v>
      </x:c>
    </x:row>
    <x:row r="5" ht="26" customHeight="1">
      <x:c r="A5" s="37" t="str">
        <x:v>Period</x:v>
      </x:c>
      <x:c r="B5" s="37" t="str">
        <x:v>Main goal</x:v>
      </x:c>
      <x:c r="C5" s="37" t="str">
        <x:v>Actions</x:v>
      </x:c>
      <x:c r="D5" s="37" t="str">
        <x:v>Owner</x:v>
      </x:c>
      <x:c r="E5" s="37" t="str">
        <x:v>Success measure</x:v>
      </x:c>
      <x:c r="F5" s="37" t="str">
        <x:v>Output</x:v>
      </x:c>
    </x:row>
    <x:row r="6">
      <x:c r="A6" s="56" t="str">
        <x:v>Days 1-14</x:v>
      </x:c>
      <x:c r="B6" s="57" t="str">
        <x:v>Prepare the B2B product</x:v>
      </x:c>
      <x:c r="C6" s="57" t="str">
        <x:v>Create landing pages, cohort codes, pilot agreement, onboarding guide, invoice template and sample report.</x:v>
      </x:c>
      <x:c r="D6" s="57" t="str">
        <x:v>Founder + product</x:v>
      </x:c>
      <x:c r="E6" s="57" t="str">
        <x:v>Everything needed to launch a pilot exists.</x:v>
      </x:c>
      <x:c r="F6" s="58" t="str">
        <x:v>B2B sales kit</x:v>
      </x:c>
    </x:row>
    <x:row r="7">
      <x:c r="A7" s="59" t="str">
        <x:v>Days 15-30</x:v>
      </x:c>
      <x:c r="B7" s="60" t="str">
        <x:v>Book and close pilots</x:v>
      </x:c>
      <x:c r="C7" s="60" t="str">
        <x:v>Target 30 universities and 20 companies; send personalised outreach; run discovery calls.</x:v>
      </x:c>
      <x:c r="D7" s="60" t="str">
        <x:v>Founder / sales</x:v>
      </x:c>
      <x:c r="E7" s="60" t="str">
        <x:v>10 discovery calls; 2 university pilots; 1 company cohort.</x:v>
      </x:c>
      <x:c r="F7" s="61" t="str">
        <x:v>Signed pilot dates</x:v>
      </x:c>
    </x:row>
    <x:row r="8">
      <x:c r="A8" s="59" t="str">
        <x:v>Days 31-45</x:v>
      </x:c>
      <x:c r="B8" s="60" t="str">
        <x:v>Launch and activate</x:v>
      </x:c>
      <x:c r="C8" s="60" t="str">
        <x:v>Conduct workshop, share codes, send reminders, monitor completion.</x:v>
      </x:c>
      <x:c r="D8" s="60" t="str">
        <x:v>Customer success</x:v>
      </x:c>
      <x:c r="E8" s="60" t="str">
        <x:v>University 40%+ completion; company 60%+ completion.</x:v>
      </x:c>
      <x:c r="F8" s="61" t="str">
        <x:v>Active cohorts</x:v>
      </x:c>
    </x:row>
    <x:row r="9">
      <x:c r="A9" s="59" t="str">
        <x:v>Days 46-60</x:v>
      </x:c>
      <x:c r="B9" s="60" t="str">
        <x:v>Measure value</x:v>
      </x:c>
      <x:c r="C9" s="60" t="str">
        <x:v>Send weekly usage report; interview active users; collect permitted testimonials.</x:v>
      </x:c>
      <x:c r="D9" s="60" t="str">
        <x:v>Customer success + founder</x:v>
      </x:c>
      <x:c r="E9" s="60" t="str">
        <x:v>Clear gaps and feedback evidence.</x:v>
      </x:c>
      <x:c r="F9" s="61" t="str">
        <x:v>Closing report</x:v>
      </x:c>
    </x:row>
    <x:row r="10">
      <x:c r="A10" s="59" t="str">
        <x:v>Days 61-75</x:v>
      </x:c>
      <x:c r="B10" s="60" t="str">
        <x:v>Convert pilots</x:v>
      </x:c>
      <x:c r="C10" s="60" t="str">
        <x:v>Present results and a bulk-seat recommendation.</x:v>
      </x:c>
      <x:c r="D10" s="60" t="str">
        <x:v>Founder / sales</x:v>
      </x:c>
      <x:c r="E10" s="60" t="str">
        <x:v>1 university deal of 100 seats; 1 company deal of 50 seats.</x:v>
      </x:c>
      <x:c r="F10" s="61" t="str">
        <x:v>Paid proposal / invoice</x:v>
      </x:c>
    </x:row>
    <x:row r="11">
      <x:c r="A11" s="59" t="str">
        <x:v>Days 76-90</x:v>
      </x:c>
      <x:c r="B11" s="60" t="str">
        <x:v>Document and scale</x:v>
      </x:c>
      <x:c r="C11" s="60" t="str">
        <x:v>Publish case studies; improve offer; repeat with new target list.</x:v>
      </x:c>
      <x:c r="D11" s="60" t="str">
        <x:v>Founder + marketing</x:v>
      </x:c>
      <x:c r="E11" s="60" t="str">
        <x:v>2 case studies and a repeatable sales process.</x:v>
      </x:c>
      <x:c r="F11" s="61" t="str">
        <x:v>Scale plan</x:v>
      </x:c>
    </x:row>
    <x:row r="12">
      <x:c r="A12" s="62"/>
      <x:c r="B12" s="63"/>
      <x:c r="C12" s="63"/>
      <x:c r="D12" s="63"/>
      <x:c r="E12" s="63"/>
      <x:c r="F12" s="64"/>
    </x:row>
    <x:row r="14" ht="22" customHeight="1">
      <x:c r="A14" s="11" t="str">
        <x:v>Weekly management dashboard</x:v>
      </x:c>
      <x:c r="B14" s="11" t="str">
        <x:v>Weekly management dashboard</x:v>
      </x:c>
      <x:c r="C14" s="11" t="str">
        <x:v>Weekly management dashboard</x:v>
      </x:c>
      <x:c r="D14" s="11" t="str">
        <x:v>Weekly management dashboard</x:v>
      </x:c>
      <x:c r="E14" s="11" t="str">
        <x:v>Weekly management dashboard</x:v>
      </x:c>
      <x:c r="F14" s="11" t="str">
        <x:v>Weekly management dashboard</x:v>
      </x:c>
    </x:row>
    <x:row r="15" ht="26" customHeight="1">
      <x:c r="A15" s="37" t="str">
        <x:v>Metric</x:v>
      </x:c>
      <x:c r="B15" s="37" t="str">
        <x:v>Target</x:v>
      </x:c>
      <x:c r="C15" s="37" t="str">
        <x:v>Week 1</x:v>
      </x:c>
      <x:c r="D15" s="37" t="str">
        <x:v>Week 2</x:v>
      </x:c>
      <x:c r="E15" s="37" t="str">
        <x:v>Week 3</x:v>
      </x:c>
      <x:c r="F15" s="37" t="str">
        <x:v>Week 4</x:v>
      </x:c>
    </x:row>
    <x:row r="16">
      <x:c r="A16" s="56" t="str">
        <x:v>New university outreach messages</x:v>
      </x:c>
      <x:c r="B16" s="57" t="n">
        <x:v>10</x:v>
      </x:c>
      <x:c r="C16" s="89"/>
      <x:c r="D16" s="89"/>
      <x:c r="E16" s="89"/>
      <x:c r="F16" s="101"/>
    </x:row>
    <x:row r="17">
      <x:c r="A17" s="59" t="str">
        <x:v>New company outreach messages</x:v>
      </x:c>
      <x:c r="B17" s="60" t="n">
        <x:v>10</x:v>
      </x:c>
      <x:c r="C17" s="76"/>
      <x:c r="D17" s="76"/>
      <x:c r="E17" s="76"/>
      <x:c r="F17" s="78"/>
    </x:row>
    <x:row r="18">
      <x:c r="A18" s="59" t="str">
        <x:v>Discovery calls booked</x:v>
      </x:c>
      <x:c r="B18" s="60" t="n">
        <x:v>3</x:v>
      </x:c>
      <x:c r="C18" s="76"/>
      <x:c r="D18" s="76"/>
      <x:c r="E18" s="76"/>
      <x:c r="F18" s="78"/>
    </x:row>
    <x:row r="19">
      <x:c r="A19" s="59" t="str">
        <x:v>Pilots launched</x:v>
      </x:c>
      <x:c r="B19" s="60" t="n">
        <x:v>1</x:v>
      </x:c>
      <x:c r="C19" s="76"/>
      <x:c r="D19" s="76"/>
      <x:c r="E19" s="76"/>
      <x:c r="F19" s="78"/>
    </x:row>
    <x:row r="20">
      <x:c r="A20" s="59" t="str">
        <x:v>First-mock completion rate</x:v>
      </x:c>
      <x:c r="B20" s="99" t="n">
        <x:v>0.4</x:v>
      </x:c>
      <x:c r="C20" s="102"/>
      <x:c r="D20" s="102"/>
      <x:c r="E20" s="102"/>
      <x:c r="F20" s="103"/>
    </x:row>
    <x:row r="21">
      <x:c r="A21" s="62" t="str">
        <x:v>Paid cohort contracts closed</x:v>
      </x:c>
      <x:c r="B21" s="63" t="n">
        <x:v>1</x:v>
      </x:c>
      <x:c r="C21" s="90"/>
      <x:c r="D21" s="90"/>
      <x:c r="E21" s="90"/>
      <x:c r="F21" s="104"/>
    </x:row>
  </x:sheetData>
  <x:mergeCells>
    <x:mergeCell ref="A1:F1"/>
    <x:mergeCell ref="A2:F2"/>
    <x:mergeCell ref="A4:F4"/>
    <x:mergeCell ref="A14:F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27" hidden="0" customWidth="1"/>
    <x:col min="4" max="4" width="17" hidden="0" customWidth="1"/>
    <x:col min="5" max="5" width="27" hidden="0" customWidth="1"/>
    <x:col min="6" max="6" width="17" hidden="0" customWidth="1"/>
    <x:col min="7" max="7" width="15" hidden="0" customWidth="1"/>
    <x:col min="8" max="8" width="20" hidden="0" customWidth="1"/>
    <x:col min="9" max="9" width="30" hidden="0" customWidth="1"/>
    <x:col min="10" max="10" width="16" hidden="0" customWidth="1"/>
  </x:cols>
  <x:sheetData>
    <x:row r="1" ht="32" customHeight="1">
      <x:c r="A1" s="4" t="str">
        <x:v>B2B Sales Tracker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8" t="str">
        <x:v>Use this table to manage first outreach, pilot progress and next steps. Orange cells are intended for user entry.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6" customHeight="1">
      <x:c r="A4" s="37" t="str">
        <x:v>Organisation</x:v>
      </x:c>
      <x:c r="B4" s="37" t="str">
        <x:v>Type</x:v>
      </x:c>
      <x:c r="C4" s="37" t="str">
        <x:v>Contact / role</x:v>
      </x:c>
      <x:c r="D4" s="37" t="str">
        <x:v>Student / user cohort</x:v>
      </x:c>
      <x:c r="E4" s="37" t="str">
        <x:v>Use case</x:v>
      </x:c>
      <x:c r="F4" s="37" t="str">
        <x:v>Stage</x:v>
      </x:c>
      <x:c r="G4" s="37" t="str">
        <x:v>Pilot start</x:v>
      </x:c>
      <x:c r="H4" s="37" t="str">
        <x:v>Pilot result</x:v>
      </x:c>
      <x:c r="I4" s="37" t="str">
        <x:v>Next action</x:v>
      </x:c>
      <x:c r="J4" s="37" t="str">
        <x:v>Owner</x:v>
      </x:c>
    </x:row>
    <x:row r="5" ht="28" customHeight="1">
      <x:c r="A5" s="56" t="str">
        <x:v>Example University</x:v>
      </x:c>
      <x:c r="B5" s="57" t="str">
        <x:v>University</x:v>
      </x:c>
      <x:c r="C5" s="57" t="str">
        <x:v>TPO / Career Services Head</x:v>
      </x:c>
      <x:c r="D5" s="106" t="n">
        <x:v>100</x:v>
      </x:c>
      <x:c r="E5" s="57" t="str">
        <x:v>Placement readiness</x:v>
      </x:c>
      <x:c r="F5" s="57" t="str">
        <x:v>Target</x:v>
      </x:c>
      <x:c r="G5" s="109"/>
      <x:c r="H5" s="109"/>
      <x:c r="I5" s="57" t="str">
        <x:v>Send personalised email</x:v>
      </x:c>
      <x:c r="J5" s="58" t="str">
        <x:v>Founder</x:v>
      </x:c>
    </x:row>
    <x:row r="6" ht="28" customHeight="1">
      <x:c r="A6" s="75" t="str">
        <x:v>Example Company</x:v>
      </x:c>
      <x:c r="B6" s="76" t="str">
        <x:v>Company</x:v>
      </x:c>
      <x:c r="C6" s="76" t="str">
        <x:v>L&amp;D or Recruitment Head</x:v>
      </x:c>
      <x:c r="D6" s="107" t="n">
        <x:v>50</x:v>
      </x:c>
      <x:c r="E6" s="76" t="str">
        <x:v>Graduate / agency readiness</x:v>
      </x:c>
      <x:c r="F6" s="76" t="str">
        <x:v>Target</x:v>
      </x:c>
      <x:c r="G6" s="110"/>
      <x:c r="H6" s="110"/>
      <x:c r="I6" s="76" t="str">
        <x:v>Send personalised email</x:v>
      </x:c>
      <x:c r="J6" s="78" t="str">
        <x:v>Founder</x:v>
      </x:c>
    </x:row>
    <x:row r="7" ht="28" customHeight="1">
      <x:c r="A7" s="75" t="str"/>
      <x:c r="B7" s="76" t="str"/>
      <x:c r="C7" s="76" t="str"/>
      <x:c r="D7" s="107"/>
      <x:c r="E7" s="76" t="str"/>
      <x:c r="F7" s="76" t="str">
        <x:v>Target</x:v>
      </x:c>
      <x:c r="G7" s="110"/>
      <x:c r="H7" s="110"/>
      <x:c r="I7" s="76" t="str"/>
      <x:c r="J7" s="78" t="str"/>
    </x:row>
    <x:row r="8" ht="28" customHeight="1">
      <x:c r="A8" s="75" t="str"/>
      <x:c r="B8" s="76" t="str"/>
      <x:c r="C8" s="76" t="str"/>
      <x:c r="D8" s="107"/>
      <x:c r="E8" s="76" t="str"/>
      <x:c r="F8" s="76" t="str">
        <x:v>Target</x:v>
      </x:c>
      <x:c r="G8" s="110"/>
      <x:c r="H8" s="110"/>
      <x:c r="I8" s="76" t="str"/>
      <x:c r="J8" s="78" t="str"/>
    </x:row>
    <x:row r="9" ht="28" customHeight="1">
      <x:c r="A9" s="75" t="str"/>
      <x:c r="B9" s="76" t="str"/>
      <x:c r="C9" s="76" t="str"/>
      <x:c r="D9" s="107"/>
      <x:c r="E9" s="76" t="str"/>
      <x:c r="F9" s="76" t="str">
        <x:v>Target</x:v>
      </x:c>
      <x:c r="G9" s="110"/>
      <x:c r="H9" s="110"/>
      <x:c r="I9" s="76" t="str"/>
      <x:c r="J9" s="78" t="str"/>
    </x:row>
    <x:row r="10" ht="28" customHeight="1">
      <x:c r="A10" s="75" t="str"/>
      <x:c r="B10" s="76" t="str"/>
      <x:c r="C10" s="76" t="str"/>
      <x:c r="D10" s="107"/>
      <x:c r="E10" s="76" t="str"/>
      <x:c r="F10" s="76" t="str">
        <x:v>Target</x:v>
      </x:c>
      <x:c r="G10" s="110"/>
      <x:c r="H10" s="110"/>
      <x:c r="I10" s="76" t="str"/>
      <x:c r="J10" s="78" t="str"/>
    </x:row>
    <x:row r="11" ht="28" customHeight="1">
      <x:c r="A11" s="75" t="str"/>
      <x:c r="B11" s="76" t="str"/>
      <x:c r="C11" s="76" t="str"/>
      <x:c r="D11" s="107"/>
      <x:c r="E11" s="76" t="str"/>
      <x:c r="F11" s="76" t="str">
        <x:v>Target</x:v>
      </x:c>
      <x:c r="G11" s="110"/>
      <x:c r="H11" s="110"/>
      <x:c r="I11" s="76" t="str"/>
      <x:c r="J11" s="78" t="str"/>
    </x:row>
    <x:row r="12" ht="28" customHeight="1">
      <x:c r="A12" s="75" t="str"/>
      <x:c r="B12" s="76" t="str"/>
      <x:c r="C12" s="76" t="str"/>
      <x:c r="D12" s="107"/>
      <x:c r="E12" s="76" t="str"/>
      <x:c r="F12" s="76" t="str">
        <x:v>Target</x:v>
      </x:c>
      <x:c r="G12" s="110"/>
      <x:c r="H12" s="110"/>
      <x:c r="I12" s="76" t="str"/>
      <x:c r="J12" s="78" t="str"/>
    </x:row>
    <x:row r="13" ht="28" customHeight="1">
      <x:c r="A13" s="75" t="str"/>
      <x:c r="B13" s="76" t="str"/>
      <x:c r="C13" s="76" t="str"/>
      <x:c r="D13" s="107"/>
      <x:c r="E13" s="76" t="str"/>
      <x:c r="F13" s="76" t="str">
        <x:v>Target</x:v>
      </x:c>
      <x:c r="G13" s="110"/>
      <x:c r="H13" s="110"/>
      <x:c r="I13" s="76" t="str"/>
      <x:c r="J13" s="78" t="str"/>
    </x:row>
    <x:row r="14" ht="28" customHeight="1">
      <x:c r="A14" s="75" t="str"/>
      <x:c r="B14" s="76" t="str"/>
      <x:c r="C14" s="76" t="str"/>
      <x:c r="D14" s="107"/>
      <x:c r="E14" s="76" t="str"/>
      <x:c r="F14" s="76" t="str">
        <x:v>Target</x:v>
      </x:c>
      <x:c r="G14" s="110"/>
      <x:c r="H14" s="110"/>
      <x:c r="I14" s="76" t="str"/>
      <x:c r="J14" s="78" t="str"/>
    </x:row>
    <x:row r="15" ht="28" customHeight="1">
      <x:c r="A15" s="75" t="str"/>
      <x:c r="B15" s="76" t="str"/>
      <x:c r="C15" s="76" t="str"/>
      <x:c r="D15" s="107"/>
      <x:c r="E15" s="76" t="str"/>
      <x:c r="F15" s="76" t="str">
        <x:v>Target</x:v>
      </x:c>
      <x:c r="G15" s="110"/>
      <x:c r="H15" s="110"/>
      <x:c r="I15" s="76" t="str"/>
      <x:c r="J15" s="78" t="str"/>
    </x:row>
    <x:row r="16" ht="28" customHeight="1">
      <x:c r="A16" s="75" t="str"/>
      <x:c r="B16" s="76" t="str"/>
      <x:c r="C16" s="76" t="str"/>
      <x:c r="D16" s="107"/>
      <x:c r="E16" s="76" t="str"/>
      <x:c r="F16" s="76" t="str">
        <x:v>Target</x:v>
      </x:c>
      <x:c r="G16" s="110"/>
      <x:c r="H16" s="110"/>
      <x:c r="I16" s="76" t="str"/>
      <x:c r="J16" s="78" t="str"/>
    </x:row>
    <x:row r="17" ht="28" customHeight="1">
      <x:c r="A17" s="105" t="str"/>
      <x:c r="B17" s="90" t="str"/>
      <x:c r="C17" s="90" t="str"/>
      <x:c r="D17" s="108"/>
      <x:c r="E17" s="90" t="str"/>
      <x:c r="F17" s="90" t="str">
        <x:v>Target</x:v>
      </x:c>
      <x:c r="G17" s="111"/>
      <x:c r="H17" s="111"/>
      <x:c r="I17" s="90" t="str"/>
      <x:c r="J17" s="104" t="str"/>
    </x:row>
    <x:row r="18">
      <x:c r="A18" t="str"/>
      <x:c r="B18" t="str"/>
      <x:c r="C18" t="str"/>
      <x:c r="D18"/>
      <x:c r="E18" t="str"/>
      <x:c r="F18" t="str">
        <x:v>Target</x:v>
      </x:c>
      <x:c r="G18"/>
      <x:c r="H18"/>
      <x:c r="I18" t="str"/>
      <x:c r="J18" t="str"/>
    </x:row>
  </x:sheetData>
  <x:mergeCells>
    <x:mergeCell ref="A1:J1"/>
    <x:mergeCell ref="A2:J2"/>
  </x:mergeCells>
  <x:dataValidations count="2">
    <x:dataValidation type="list" sqref="B5:B17">
      <x:formula1>"University,Company"</x:formula1>
    </x:dataValidation>
    <x:dataValidation type="list" sqref="F5:F17">
      <x:formula1>"Target,Contacted,Discovery call,Pilot agreed,Pilot live,Proposal sent,Closed won,Closed lost"</x:formula1>
    </x:dataValidation>
  </x:dataValidations>
  <x:pageMargins left="0.7" right="0.7" top="0.75" bottom="0.75" header="0.3" footer="0.3"/>
</x:worksheet>
</file>